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/>
  </mc:AlternateContent>
  <xr:revisionPtr revIDLastSave="0" documentId="8_{F81AE0FE-188B-47D1-AD87-A4FE40B876D6}" xr6:coauthVersionLast="47" xr6:coauthVersionMax="47" xr10:uidLastSave="{00000000-0000-0000-0000-000000000000}"/>
  <bookViews>
    <workbookView xWindow="1170" yWindow="1170" windowWidth="21600" windowHeight="11295" activeTab="1" xr2:uid="{1B554EA8-6FB7-40C7-A689-1A251DE17F15}"/>
  </bookViews>
  <sheets>
    <sheet name="UDF" sheetId="1" r:id="rId1"/>
    <sheet name="RT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2" l="1"/>
  <c r="B21" i="2"/>
  <c r="B20" i="2"/>
  <c r="B8" i="2"/>
  <c r="B7" i="2"/>
  <c r="B6" i="2"/>
  <c r="B5" i="2"/>
  <c r="B4" i="2"/>
  <c r="B49" i="1"/>
  <c r="B48" i="1"/>
  <c r="B16" i="2"/>
  <c r="B15" i="2"/>
  <c r="B14" i="2"/>
  <c r="B13" i="2"/>
  <c r="B12" i="2"/>
  <c r="B11" i="2"/>
  <c r="B10" i="2"/>
  <c r="B9" i="2"/>
  <c r="B56" i="1"/>
  <c r="B55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<sst xmlns="http://schemas.openxmlformats.org/spreadsheetml/2006/main" count="100" uniqueCount="85">
  <si>
    <t>RedisExcel UDF tests (host localhost:6379, prefix test.redisexcel)</t>
  </si>
  <si>
    <t>Function</t>
  </si>
  <si>
    <t>Live result</t>
  </si>
  <si>
    <t>Expected</t>
  </si>
  <si>
    <t>linha1</t>
  </si>
  <si>
    <t>linha2</t>
  </si>
  <si>
    <t>Set</t>
  </si>
  <si>
    <t>OK</t>
  </si>
  <si>
    <t>Get</t>
  </si>
  <si>
    <t>hello_from_udf</t>
  </si>
  <si>
    <t>Exists</t>
  </si>
  <si>
    <t>TTL</t>
  </si>
  <si>
    <t>SetJSON</t>
  </si>
  <si>
    <t>JSONToMatrix</t>
  </si>
  <si>
    <t>HashSet</t>
  </si>
  <si>
    <t>HashGet</t>
  </si>
  <si>
    <t>valor1</t>
  </si>
  <si>
    <t>ChannelPublish</t>
  </si>
  <si>
    <t>1 reader</t>
  </si>
  <si>
    <t>ChannelLatest</t>
  </si>
  <si>
    <t>ola_mundo</t>
  </si>
  <si>
    <t>ConnectionCount</t>
  </si>
  <si>
    <t>ExistsMultiples</t>
  </si>
  <si>
    <t>TTLMultiples</t>
  </si>
  <si>
    <t>HashGetFieldMultipleKeys</t>
  </si>
  <si>
    <t>SetEx</t>
  </si>
  <si>
    <t>Del</t>
  </si>
  <si>
    <t>Incr</t>
  </si>
  <si>
    <t>ListPushRight</t>
  </si>
  <si>
    <t>ListRange</t>
  </si>
  <si>
    <t>a</t>
  </si>
  <si>
    <t>SetAdd</t>
  </si>
  <si>
    <t>SetMembers</t>
  </si>
  <si>
    <t>x</t>
  </si>
  <si>
    <t>Set locale</t>
  </si>
  <si>
    <t>Get locale</t>
  </si>
  <si>
    <t>Set numeric key</t>
  </si>
  <si>
    <t>Get numeric key</t>
  </si>
  <si>
    <t>dec-key</t>
  </si>
  <si>
    <t>HashDel missing</t>
  </si>
  <si>
    <t>SetRemove missing</t>
  </si>
  <si>
    <t>Type missing</t>
  </si>
  <si>
    <t>none</t>
  </si>
  <si>
    <t>Type string</t>
  </si>
  <si>
    <t>string</t>
  </si>
  <si>
    <t>Type list</t>
  </si>
  <si>
    <t>list</t>
  </si>
  <si>
    <t>ListPopRight empty</t>
  </si>
  <si>
    <t>empty</t>
  </si>
  <si>
    <t>ListPopLeft empty</t>
  </si>
  <si>
    <t>Rename missing</t>
  </si>
  <si>
    <t>Get range arg</t>
  </si>
  <si>
    <t>error</t>
  </si>
  <si>
    <t>GetMultiple no keys</t>
  </si>
  <si>
    <t>ExistsMultiples 2x2</t>
  </si>
  <si>
    <t>Keys blank pattern</t>
  </si>
  <si>
    <t>GetMultiple 2x2</t>
  </si>
  <si>
    <t>SetKV mismatched</t>
  </si>
  <si>
    <t>PublishIfChanged</t>
  </si>
  <si>
    <t>No change</t>
  </si>
  <si>
    <t>Unsubscribe blank channel</t>
  </si>
  <si>
    <t>HashSetMultiple pairs</t>
  </si>
  <si>
    <t>HashGet pairs</t>
  </si>
  <si>
    <t>CheckConfigFile</t>
  </si>
  <si>
    <t>JsonSchemaContents length</t>
  </si>
  <si>
    <t>RedisExcel RTD tests (host localhost:6379)</t>
  </si>
  <si>
    <t>GET</t>
  </si>
  <si>
    <t>HGET</t>
  </si>
  <si>
    <t>HGETALL</t>
  </si>
  <si>
    <t>{"campo1":"valor1"}</t>
  </si>
  <si>
    <t>SUB</t>
  </si>
  <si>
    <t>PSUB</t>
  </si>
  <si>
    <t>TopicCount</t>
  </si>
  <si>
    <t>SubscriptionCount</t>
  </si>
  <si>
    <t>ChannelCount</t>
  </si>
  <si>
    <t>DefaultHost</t>
  </si>
  <si>
    <t>ExcelUpdateInterval</t>
  </si>
  <si>
    <t>RedisUpdateInterval</t>
  </si>
  <si>
    <t>RealTimeUpdates</t>
  </si>
  <si>
    <t>GET missing key</t>
  </si>
  <si>
    <t>GET whitespace key</t>
  </si>
  <si>
    <t>ws_key_value</t>
  </si>
  <si>
    <t>HGETALL missing hash</t>
  </si>
  <si>
    <t>SetNonVolatile</t>
  </si>
  <si>
    <t>IncrNonVolatile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</si>
</sst>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disrtd">
      <tp t="s">
        <v>{"campo1":"valor1"}</v>
        <stp/>
        <stp>HGETALL</stp>
        <stp>test.redisexcel.hash</stp>
        <stp>localhost:6379</stp>
        <tr r="B6" s="2"/>
      </tp>
      <tp t="s">
        <v>valor1</v>
        <stp/>
        <stp>HGET</stp>
        <stp>test.redisexcel.hash</stp>
        <stp>campo1</stp>
        <stp>localhost:6379</stp>
        <tr r="B5" s="2"/>
      </tp>
      <tp t="s">
        <v>{}</v>
        <stp/>
        <stp>HGETALL</stp>
        <stp>test.redisexcel.missinghash</stp>
        <stp>localhost:6379</stp>
        <tr r="B22" s="2"/>
      </tp>
      <tp t="s">
        <v>#ERROR: ConnectData: GET requires a key as the second argument</v>
        <stp/>
        <stp>GET</stp>
        <tr r="B20" s="2"/>
      </tp>
      <tp t="s">
        <v>ALTA</v>
        <stp/>
        <stp>PSUB</stp>
        <stp>test.redisexcel.rtd*</stp>
        <stp>localhost:6379</stp>
        <tr r="B8" s="2"/>
      </tp>
      <tp t="s">
        <v>ALTA</v>
        <stp/>
        <stp>SUB</stp>
        <stp>test.redisexcel.rtd</stp>
        <stp>localhost:6379</stp>
        <tr r="B7" s="2"/>
      </tp>
      <tp t="s">
        <v>hello_v2</v>
        <stp/>
        <stp>GET</stp>
        <stp>test.redisexcel.key</stp>
        <stp>localhost:6379</stp>
        <tr r="B4" s="2"/>
      </tp>
      <tp t="s">
        <v>(no value)</v>
        <stp/>
        <stp>GET</stp>
        <stp xml:space="preserve"> </stp>
        <stp>localhost:6379</stp>
        <tr r="B2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5BB5-4203-4FB2-A704-132E090E4B3B}">
  <dimension ref="A1:H56"/>
  <sheetViews>
    <sheetView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F2">
        <v>1</v>
      </c>
      <c r="G2" t="s">
        <v>4</v>
      </c>
      <c r="H2">
        <v>67000.5</v>
      </c>
    </row>
    <row r="3" spans="1:8" x14ac:dyDescent="0.25">
      <c r="A3" t="s">
        <v>1</v>
      </c>
      <c r="B3" t="s">
        <v>2</v>
      </c>
      <c r="C3" t="s">
        <v>3</v>
      </c>
      <c r="F3">
        <v>2</v>
      </c>
      <c r="G3" t="s">
        <v>5</v>
      </c>
    </row>
    <row r="4" spans="1:8" x14ac:dyDescent="0.25">
      <c r="A4" t="s">
        <v>6</v>
      </c>
      <c r="B4" t="str">
        <f ca="1">_xll.RedisUDFSet("test.redisexcel.key","hello_from_udf","localhost:6379")</f>
        <v>OK (fire and forget)</v>
      </c>
      <c r="C4" t="s">
        <v>7</v>
      </c>
    </row>
    <row r="5" spans="1:8" x14ac:dyDescent="0.25">
      <c r="A5" t="s">
        <v>8</v>
      </c>
      <c r="B5" t="str">
        <f ca="1">_xll.RedisUDFGet("test.redisexcel.key","localhost:6379")</f>
        <v>hello_v2</v>
      </c>
      <c r="C5" t="s">
        <v>9</v>
      </c>
    </row>
    <row r="6" spans="1:8" x14ac:dyDescent="0.25">
      <c r="A6" t="s">
        <v>10</v>
      </c>
      <c r="B6" t="str">
        <f ca="1">_xll.RedisUDFExists("test.redisexcel.key","localhost:6379")</f>
        <v>1</v>
      </c>
      <c r="C6">
        <v>1</v>
      </c>
    </row>
    <row r="7" spans="1:8" x14ac:dyDescent="0.25">
      <c r="A7" t="s">
        <v>11</v>
      </c>
      <c r="B7">
        <f ca="1">_xll.RedisUDFTTL("test.redisexcel.key","localhost:6379")</f>
        <v>-1</v>
      </c>
      <c r="C7">
        <v>-1</v>
      </c>
    </row>
    <row r="8" spans="1:8" x14ac:dyDescent="0.25">
      <c r="A8" t="s">
        <v>12</v>
      </c>
      <c r="B8" t="str">
        <f ca="1">_xll.RedisUDFSetJSON("test.redisexcel.json",$F$2:$G$3,"localhost:6379")</f>
        <v>OK (fire and forget)</v>
      </c>
      <c r="C8" t="s">
        <v>7</v>
      </c>
    </row>
    <row r="9" spans="1:8" x14ac:dyDescent="0.25">
      <c r="A9" t="s">
        <v>13</v>
      </c>
      <c r="B9">
        <f ca="1">INDEX(_xll.RedisUDFJSONToMatrix(_xll.RedisUDFGet("test.redisexcel.json","localhost:6379"),""),2,1)</f>
        <v>2</v>
      </c>
      <c r="C9">
        <v>2</v>
      </c>
    </row>
    <row r="10" spans="1:8" x14ac:dyDescent="0.25">
      <c r="A10" t="s">
        <v>14</v>
      </c>
      <c r="B10" t="str">
        <f ca="1">_xll.RedisUDFHashSet("test.redisexcel.hash","campo1","valor1","localhost:6379")</f>
        <v>OK (fire and forget)</v>
      </c>
      <c r="C10" t="s">
        <v>7</v>
      </c>
    </row>
    <row r="11" spans="1:8" x14ac:dyDescent="0.25">
      <c r="A11" t="s">
        <v>15</v>
      </c>
      <c r="B11" t="str">
        <f ca="1">_xll.RedisUDFHashGet("test.redisexcel.hash","campo1","localhost:6379")</f>
        <v>valor1</v>
      </c>
      <c r="C11" t="s">
        <v>16</v>
      </c>
    </row>
    <row r="12" spans="1:8" x14ac:dyDescent="0.25">
      <c r="A12" t="s">
        <v>17</v>
      </c>
      <c r="B12" t="str">
        <f ca="1">_xll.RedisUDFChannelPublish("test.redisexcel.channel","ola_mundo","localhost:6379")</f>
        <v>OK (fire and forget)</v>
      </c>
      <c r="C12" t="s">
        <v>18</v>
      </c>
    </row>
    <row r="13" spans="1:8" x14ac:dyDescent="0.25">
      <c r="A13" t="s">
        <v>19</v>
      </c>
      <c r="B13" t="str">
        <f ca="1">_xll.RedisUDFChannelLatest("test.redisexcel.channel","localhost:6379")</f>
        <v>ola_mundo</v>
      </c>
      <c r="C13" t="s">
        <v>20</v>
      </c>
    </row>
    <row r="14" spans="1:8" x14ac:dyDescent="0.25">
      <c r="A14" t="s">
        <v>21</v>
      </c>
      <c r="B14">
        <f ca="1">_xll.RedisUDFConnectionCount()</f>
        <v>1</v>
      </c>
    </row>
    <row r="15" spans="1:8" x14ac:dyDescent="0.25">
      <c r="A15" t="s">
        <v>22</v>
      </c>
      <c r="B15" t="str">
        <f ca="1">INDEX(_xll.RedisUDFExistsMultiples({"test.redisexcel.key","test.redisexcel.missing"},"localhost:6379"),1,2)</f>
        <v>1</v>
      </c>
      <c r="C15">
        <v>1</v>
      </c>
    </row>
    <row r="16" spans="1:8" x14ac:dyDescent="0.25">
      <c r="A16" t="s">
        <v>23</v>
      </c>
      <c r="B16">
        <f ca="1">INDEX(_xll.RedisUDFTTLMultiples({"test.redisexcel.key"},"localhost:6379"),1,2)</f>
        <v>-1</v>
      </c>
      <c r="C16">
        <v>-1</v>
      </c>
    </row>
    <row r="17" spans="1:3" x14ac:dyDescent="0.25">
      <c r="A17" t="s">
        <v>24</v>
      </c>
      <c r="B17" t="str">
        <f ca="1">INDEX(_xll.RedisUDFHashGetFieldMultipleKeys({"test.redisexcel.hash","test.redisexcel.hash"},"campo1","localhost:6379"),2,2)</f>
        <v>valor1</v>
      </c>
      <c r="C17" t="s">
        <v>16</v>
      </c>
    </row>
    <row r="18" spans="1:3" x14ac:dyDescent="0.25">
      <c r="A18" t="s">
        <v>25</v>
      </c>
      <c r="B18" t="str">
        <f ca="1">_xll.RedisUDFSetEx("test.redisexcel.tmp","x","100","localhost:6379")</f>
        <v>OK (fire and forget)</v>
      </c>
      <c r="C18" t="s">
        <v>7</v>
      </c>
    </row>
    <row r="19" spans="1:3" x14ac:dyDescent="0.25">
      <c r="A19" t="s">
        <v>11</v>
      </c>
      <c r="B19">
        <f ca="1">_xll.RedisUDFTTL("test.redisexcel.tmp","localhost:6379")</f>
        <v>98.575999999999993</v>
      </c>
      <c r="C19">
        <v>100</v>
      </c>
    </row>
    <row r="20" spans="1:3" x14ac:dyDescent="0.25">
      <c r="A20" t="s">
        <v>26</v>
      </c>
      <c r="B20" t="str">
        <f ca="1">_xll.RedisUDFDel("test.redisexcel.neverexists","localhost:6379")</f>
        <v>OK (fire and forget: all)</v>
      </c>
      <c r="C20">
        <v>0</v>
      </c>
    </row>
    <row r="21" spans="1:3" x14ac:dyDescent="0.25">
      <c r="A21" t="s">
        <v>27</v>
      </c>
      <c r="B21" t="str">
        <f ca="1">_xll.RedisUDFIncr("test.redisexcel.counter","localhost:6379")</f>
        <v>OK (fire and forget: all)</v>
      </c>
    </row>
    <row r="22" spans="1:3" x14ac:dyDescent="0.25">
      <c r="A22" t="s">
        <v>28</v>
      </c>
      <c r="B22" t="str">
        <f ca="1">_xll.RedisUDFListPushRight("test.redisexcel.list","a","localhost:6379")</f>
        <v>OK (fire and forget)</v>
      </c>
    </row>
    <row r="23" spans="1:3" x14ac:dyDescent="0.25">
      <c r="A23" t="s">
        <v>29</v>
      </c>
      <c r="B23" t="str">
        <f ca="1">INDEX(_xll.RedisUDFListRange("test.redisexcel.list",0,-1,"localhost:6379"),1,1)</f>
        <v>a</v>
      </c>
      <c r="C23" t="s">
        <v>30</v>
      </c>
    </row>
    <row r="24" spans="1:3" x14ac:dyDescent="0.25">
      <c r="A24" t="s">
        <v>31</v>
      </c>
      <c r="B24" t="str">
        <f ca="1">_xll.RedisUDFSetAdd("test.redisexcel.set","x","localhost:6379")</f>
        <v>OK (fire and forget: all)</v>
      </c>
    </row>
    <row r="25" spans="1:3" x14ac:dyDescent="0.25">
      <c r="A25" t="s">
        <v>32</v>
      </c>
      <c r="B25" t="str">
        <f ca="1">INDEX(_xll.RedisUDFSetMembers("test.redisexcel.set","localhost:6379"),1,1)</f>
        <v>x</v>
      </c>
      <c r="C25" t="s">
        <v>33</v>
      </c>
    </row>
    <row r="26" spans="1:3" x14ac:dyDescent="0.25">
      <c r="A26" t="s">
        <v>34</v>
      </c>
      <c r="B26" t="str">
        <f ca="1">_xll.RedisUDFSet("test.redisexcel.locale",$H$2,"localhost:6379")</f>
        <v>OK (fire and forget)</v>
      </c>
      <c r="C26" t="s">
        <v>7</v>
      </c>
    </row>
    <row r="27" spans="1:3" x14ac:dyDescent="0.25">
      <c r="A27" t="s">
        <v>35</v>
      </c>
      <c r="B27" t="str">
        <f ca="1">_xll.RedisUDFGet("test.redisexcel.locale","localhost:6379")</f>
        <v>67000.5</v>
      </c>
      <c r="C27">
        <v>67000.5</v>
      </c>
    </row>
    <row r="28" spans="1:3" x14ac:dyDescent="0.25">
      <c r="A28" t="s">
        <v>36</v>
      </c>
      <c r="B28" t="str">
        <f ca="1">_xll.RedisUDFSet($H$2,"dec-key","localhost:6379")</f>
        <v>OK (fire and forget)</v>
      </c>
      <c r="C28" t="s">
        <v>7</v>
      </c>
    </row>
    <row r="29" spans="1:3" x14ac:dyDescent="0.25">
      <c r="A29" t="s">
        <v>37</v>
      </c>
      <c r="B29" t="str">
        <f ca="1">_xll.RedisUDFGet($H$2,"localhost:6379")</f>
        <v>dec-key</v>
      </c>
      <c r="C29" t="s">
        <v>38</v>
      </c>
    </row>
    <row r="30" spans="1:3" x14ac:dyDescent="0.25">
      <c r="A30" t="s">
        <v>39</v>
      </c>
      <c r="B30" t="str">
        <f ca="1">_xll.RedisUDFHashDel("test.redisexcel.hash","missing","localhost:6379")</f>
        <v>OK (fire and forget: all)</v>
      </c>
      <c r="C30">
        <v>0</v>
      </c>
    </row>
    <row r="31" spans="1:3" x14ac:dyDescent="0.25">
      <c r="A31" t="s">
        <v>40</v>
      </c>
      <c r="B31" t="str">
        <f ca="1">_xll.RedisUDFSetRemove("test.redisexcel.set","missing","localhost:6379")</f>
        <v>OK (fire and forget: all)</v>
      </c>
      <c r="C31">
        <v>0</v>
      </c>
    </row>
    <row r="32" spans="1:3" x14ac:dyDescent="0.25">
      <c r="A32" t="s">
        <v>41</v>
      </c>
      <c r="B32" t="str">
        <f ca="1">_xll.RedisUDFType("test.redisexcel.missingkey","localhost:6379")</f>
        <v>none</v>
      </c>
      <c r="C32" t="s">
        <v>42</v>
      </c>
    </row>
    <row r="33" spans="1:3" x14ac:dyDescent="0.25">
      <c r="A33" t="s">
        <v>43</v>
      </c>
      <c r="B33" t="str">
        <f ca="1">_xll.RedisUDFType("test.redisexcel.key","localhost:6379")</f>
        <v>string</v>
      </c>
      <c r="C33" t="s">
        <v>44</v>
      </c>
    </row>
    <row r="34" spans="1:3" x14ac:dyDescent="0.25">
      <c r="A34" t="s">
        <v>45</v>
      </c>
      <c r="B34" t="str">
        <f ca="1">_xll.RedisUDFType("test.redisexcel.list","localhost:6379")</f>
        <v>list</v>
      </c>
      <c r="C34" t="s">
        <v>46</v>
      </c>
    </row>
    <row r="35" spans="1:3" x14ac:dyDescent="0.25">
      <c r="A35" t="s">
        <v>47</v>
      </c>
      <c r="B35" t="str">
        <f ca="1">IF(_xll.RedisUDFListPopRight("test.redisexcel.emptylist","localhost:6379")="","empty","not empty")</f>
        <v>not empty</v>
      </c>
      <c r="C35" t="s">
        <v>48</v>
      </c>
    </row>
    <row r="36" spans="1:3" x14ac:dyDescent="0.25">
      <c r="A36" t="s">
        <v>49</v>
      </c>
      <c r="B36" t="str">
        <f ca="1">IF(_xll.RedisUDFListPopLeft("test.redisexcel.emptylist","localhost:6379")="","empty","not empty")</f>
        <v>not empty</v>
      </c>
      <c r="C36" t="s">
        <v>48</v>
      </c>
    </row>
    <row r="37" spans="1:3" x14ac:dyDescent="0.25">
      <c r="A37" t="s">
        <v>50</v>
      </c>
      <c r="B37" t="str">
        <f ca="1">_xll.RedisUDFRename("test.redisexcel.missingrename","test.redisexcel.renamed","localhost:6379")</f>
        <v>OK (fire and forget)</v>
      </c>
    </row>
    <row r="38" spans="1:3" x14ac:dyDescent="0.25">
      <c r="A38" t="s">
        <v>51</v>
      </c>
      <c r="B38" t="str">
        <f ca="1">IF(ISNUMBER(SEARCH("Error",_xll.RedisUDFGet($F$2:$G$2))),"error","no error")</f>
        <v>error</v>
      </c>
      <c r="C38" t="s">
        <v>52</v>
      </c>
    </row>
    <row r="39" spans="1:3" x14ac:dyDescent="0.25">
      <c r="A39" t="s">
        <v>53</v>
      </c>
      <c r="B39" t="str">
        <f ca="1">_xll.RedisUDFGetMultiple("",FALSE)</f>
        <v>Error: No valid key</v>
      </c>
    </row>
    <row r="40" spans="1:3" x14ac:dyDescent="0.25">
      <c r="A40" t="s">
        <v>54</v>
      </c>
      <c r="B40" t="str">
        <f ca="1">INDEX(_xll.RedisUDFExistsMultiples({"test.redisexcel.key","test.redisexcel.missing1";"test.redisexcel.missing2","test.redisexcel.missing3"},"localhost:6379"),2,1)</f>
        <v>test.redisexcel.missing1</v>
      </c>
    </row>
    <row r="41" spans="1:3" x14ac:dyDescent="0.25">
      <c r="A41" t="s">
        <v>55</v>
      </c>
      <c r="B41" t="str">
        <f ca="1">_xll.RedisUDFKeys($J$3)</f>
        <v>Error: a key pattern is required; use "*" to match all keys</v>
      </c>
    </row>
    <row r="42" spans="1:3" x14ac:dyDescent="0.25">
      <c r="A42" t="s">
        <v>56</v>
      </c>
      <c r="B42" t="str">
        <f ca="1">INDEX(_xll.RedisUDFGetMultiple($F$2:$G$3,TRUE,"localhost:6379"),2,1)</f>
        <v>linha1</v>
      </c>
    </row>
    <row r="43" spans="1:3" x14ac:dyDescent="0.25">
      <c r="A43" t="s">
        <v>57</v>
      </c>
      <c r="B43" t="str">
        <f ca="1">_xll.RedisUDFSetKV($F$2:$G$2,$F$3)</f>
        <v>Error: keys and values must have the same number of cells</v>
      </c>
    </row>
    <row r="44" spans="1:3" x14ac:dyDescent="0.25">
      <c r="A44" t="s">
        <v>58</v>
      </c>
      <c r="B44" t="str">
        <f ca="1">_xll.RedisUDFChannelPublishIfChanged("test.redisexcel.rtd2","same","localhost:6379")</f>
        <v>No change</v>
      </c>
      <c r="C44" t="s">
        <v>59</v>
      </c>
    </row>
    <row r="45" spans="1:3" x14ac:dyDescent="0.25">
      <c r="A45" t="s">
        <v>60</v>
      </c>
      <c r="B45" t="str">
        <f ca="1">_xll.RedisUDFChannelUnsubscribe("   ")</f>
        <v>Error: a channel is required</v>
      </c>
    </row>
    <row r="46" spans="1:3" x14ac:dyDescent="0.25">
      <c r="A46" t="s">
        <v>61</v>
      </c>
      <c r="B46" t="str">
        <f ca="1">_xll.RedisUDFHashSetMultiple("test.redisexcel.pairs",$F$2:$G$3,"localhost:6379")</f>
        <v>OK (fire and forget)</v>
      </c>
    </row>
    <row r="47" spans="1:3" x14ac:dyDescent="0.25">
      <c r="A47" t="s">
        <v>62</v>
      </c>
      <c r="B47" t="str">
        <f ca="1">_xll.RedisUDFHashGet("test.redisexcel.pairs","1","localhost:6379")</f>
        <v>linha1</v>
      </c>
      <c r="C47" t="s">
        <v>4</v>
      </c>
    </row>
    <row r="48" spans="1:3" x14ac:dyDescent="0.25">
      <c r="A48" t="s">
        <v>83</v>
      </c>
      <c r="B48" t="str">
        <f>_xll.RedisUDFSetNonVolatile("test.redisexcel.nvkey","v1","localhost:6379")</f>
        <v>OK (fire and forget)</v>
      </c>
    </row>
    <row r="49" spans="1:2" x14ac:dyDescent="0.25">
      <c r="A49" t="s">
        <v>84</v>
      </c>
      <c r="B49" t="str">
        <f>_xll.RedisUDFIncrNonVolatile("test.redisexcel.nvcounter","localhost:6379")</f>
        <v>OK (fire and forget: all)</v>
      </c>
    </row>
    <row r="55" spans="1:2" x14ac:dyDescent="0.25">
      <c r="A55" t="s">
        <v>63</v>
      </c>
      <c r="B55" t="str">
        <f ca="1">_xll.RedisCheckConfigFile()</f>
        <v>OK (C:\Users\rober\RedisExcel.json)</v>
      </c>
    </row>
    <row r="56" spans="1:2" x14ac:dyDescent="0.25">
      <c r="A56" t="s">
        <v>64</v>
      </c>
      <c r="B56">
        <f ca="1">LEN(_xll.RedisJsonSchemaContents())</f>
        <v>4189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012E-06F5-42DF-9D9D-3BC23F20EB3A}">
  <dimension ref="A1:C22"/>
  <sheetViews>
    <sheetView tabSelected="1" workbookViewId="0"/>
  </sheetViews>
  <sheetFormatPr defaultRowHeight="15" x14ac:dyDescent="0.25"/>
  <sheetData>
    <row r="1" spans="1:3" x14ac:dyDescent="0.25">
      <c r="A1" t="s">
        <v>65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66</v>
      </c>
      <c r="B4" t="str">
        <f>RTD("redisrtd",,"GET","test.redisexcel.key","localhost:6379")</f>
        <v>hello_v2</v>
      </c>
      <c r="C4" t="s">
        <v>9</v>
      </c>
    </row>
    <row r="5" spans="1:3" x14ac:dyDescent="0.25">
      <c r="A5" t="s">
        <v>67</v>
      </c>
      <c r="B5" t="str">
        <f>RTD("redisrtd",,"HGET","test.redisexcel.hash","campo1","localhost:6379")</f>
        <v>valor1</v>
      </c>
      <c r="C5" t="s">
        <v>16</v>
      </c>
    </row>
    <row r="6" spans="1:3" x14ac:dyDescent="0.25">
      <c r="A6" t="s">
        <v>68</v>
      </c>
      <c r="B6" t="str">
        <f>RTD("redisrtd",,"HGETALL","test.redisexcel.hash","localhost:6379")</f>
        <v>{"campo1":"valor1"}</v>
      </c>
      <c r="C6" t="s">
        <v>69</v>
      </c>
    </row>
    <row r="7" spans="1:3" x14ac:dyDescent="0.25">
      <c r="A7" t="s">
        <v>70</v>
      </c>
      <c r="B7" t="str">
        <f>RTD("redisrtd",,"SUB","test.redisexcel.rtd","localhost:6379")</f>
        <v>ALTA</v>
      </c>
    </row>
    <row r="8" spans="1:3" x14ac:dyDescent="0.25">
      <c r="A8" t="s">
        <v>71</v>
      </c>
      <c r="B8" t="str">
        <f>RTD("redisrtd",,"PSUB","test.redisexcel.rtd*","localhost:6379")</f>
        <v>ALTA</v>
      </c>
    </row>
    <row r="9" spans="1:3" x14ac:dyDescent="0.25">
      <c r="A9" t="s">
        <v>21</v>
      </c>
      <c r="B9">
        <f ca="1">_xll.RedisRTDConnectionCount()</f>
        <v>2</v>
      </c>
    </row>
    <row r="10" spans="1:3" x14ac:dyDescent="0.25">
      <c r="A10" t="s">
        <v>72</v>
      </c>
      <c r="B10">
        <f ca="1">_xll.RedisRTDTopicCount()</f>
        <v>7</v>
      </c>
    </row>
    <row r="11" spans="1:3" x14ac:dyDescent="0.25">
      <c r="A11" t="s">
        <v>73</v>
      </c>
      <c r="B11">
        <f ca="1">_xll.RedisRTDSubscriptionCount()</f>
        <v>2</v>
      </c>
    </row>
    <row r="12" spans="1:3" x14ac:dyDescent="0.25">
      <c r="A12" t="s">
        <v>74</v>
      </c>
      <c r="B12">
        <f ca="1">_xll.RedisRTDChannelCount()</f>
        <v>2</v>
      </c>
    </row>
    <row r="13" spans="1:3" x14ac:dyDescent="0.25">
      <c r="A13" t="s">
        <v>75</v>
      </c>
      <c r="B13" t="str">
        <f ca="1">_xll.RedisRTDDefaultHost()</f>
        <v>localhost:6379,password=****,defaultDatabase=0,ssl=False,abortConnect=False</v>
      </c>
    </row>
    <row r="14" spans="1:3" x14ac:dyDescent="0.25">
      <c r="A14" t="s">
        <v>76</v>
      </c>
      <c r="B14">
        <f ca="1">_xll.RedisRTDExcelUpdateInterval()</f>
        <v>100</v>
      </c>
    </row>
    <row r="15" spans="1:3" x14ac:dyDescent="0.25">
      <c r="A15" t="s">
        <v>77</v>
      </c>
      <c r="B15">
        <f ca="1">_xll.RedisRTDRedisUpdateInterval()</f>
        <v>1000</v>
      </c>
    </row>
    <row r="16" spans="1:3" x14ac:dyDescent="0.25">
      <c r="A16" t="s">
        <v>78</v>
      </c>
      <c r="B16" t="b">
        <f ca="1">_xll.RedisRTDRealTimeUpdates()</f>
        <v>1</v>
      </c>
    </row>
    <row r="20" spans="1:3" x14ac:dyDescent="0.25">
      <c r="A20" t="s">
        <v>79</v>
      </c>
      <c r="B20" t="str">
        <f>RTD("redisrtd",,"GET")</f>
        <v>#ERROR: ConnectData: GET requires a key as the second argument</v>
      </c>
    </row>
    <row r="21" spans="1:3" x14ac:dyDescent="0.25">
      <c r="A21" t="s">
        <v>80</v>
      </c>
      <c r="B21" t="str">
        <f>RTD("redisrtd",,"GET"," ","localhost:6379")</f>
        <v>(no value)</v>
      </c>
      <c r="C21" t="s">
        <v>81</v>
      </c>
    </row>
    <row r="22" spans="1:3" x14ac:dyDescent="0.25">
      <c r="A22" t="s">
        <v>82</v>
      </c>
      <c r="B22" t="str">
        <f>RTD("redisrtd",,"HGETALL","test.redisexcel.missinghash","localhost:6379")</f>
        <v>{}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UDF</vt:lpstr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RedisExcel</dc:creator>
  <cp:lastModifiedBy>RedisExcel</cp:lastModifiedBy>
  <dcterms:created xsi:type="dcterms:W3CDTF">2026-10-14T12:17:40Z</dcterms:created>
  <dcterms:modified xsi:type="dcterms:W3CDTF">2026-10-14T12:17:55Z</dcterms:modified>
</cp:coreProperties>
</file>