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E:\Trabalho\rs\redisexcel\test\"/>
    </mc:Choice>
  </mc:AlternateContent>
  <xr:revisionPtr revIDLastSave="0" documentId="8_{D21BDBF1-E01C-4D63-B10D-7D4B6F020492}" xr6:coauthVersionLast="47" xr6:coauthVersionMax="47" xr10:uidLastSave="{00000000-0000-0000-0000-000000000000}"/>
  <bookViews>
    <workbookView xWindow="5640" yWindow="-28770" windowWidth="21600" windowHeight="11295" activeTab="1" xr2:uid="{EBB1DE32-8B08-455A-90D2-CBB6CF60AFAB}"/>
  </bookViews>
  <sheets>
    <sheet name="UDF" sheetId="1" r:id="rId1"/>
    <sheet name="RT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8" i="2" l="1"/>
  <c r="B7" i="2"/>
  <c r="B6" i="2"/>
  <c r="B5" i="2"/>
  <c r="B4" i="2"/>
  <c r="B16" i="2"/>
  <c r="B15" i="2"/>
  <c r="B14" i="2"/>
  <c r="B13" i="2"/>
  <c r="B12" i="2"/>
  <c r="B11" i="2"/>
  <c r="B10" i="2"/>
  <c r="B9" i="2"/>
  <c r="B14" i="1"/>
  <c r="B13" i="1"/>
  <c r="B12" i="1"/>
  <c r="B11" i="1"/>
  <c r="B10" i="1"/>
  <c r="B9" i="1"/>
  <c r="B8" i="1"/>
  <c r="B7" i="1"/>
  <c r="B6" i="1"/>
  <c r="B5" i="1"/>
  <c r="B4" i="1"/>
</calcChain>
</file>

<file path=xl/sharedStrings.xml><?xml version="1.0" encoding="utf-8"?>
<sst xmlns="http://schemas.openxmlformats.org/spreadsheetml/2006/main" count="44" uniqueCount="36">
  <si>
    <t>RedisExcel UDF tests (host localhost:6379, prefix test.redisexcel)</t>
  </si>
  <si>
    <t>Function</t>
  </si>
  <si>
    <t>Live result</t>
  </si>
  <si>
    <t>Expected</t>
  </si>
  <si>
    <t>linha1</t>
  </si>
  <si>
    <t>linha2</t>
  </si>
  <si>
    <t>Set</t>
  </si>
  <si>
    <t>OK</t>
  </si>
  <si>
    <t>Get</t>
  </si>
  <si>
    <t>hello_from_udf</t>
  </si>
  <si>
    <t>Exists</t>
  </si>
  <si>
    <t>TTL</t>
  </si>
  <si>
    <t>SetJSON</t>
  </si>
  <si>
    <t>JSONToMatrix</t>
  </si>
  <si>
    <t>HashSet</t>
  </si>
  <si>
    <t>HashGet</t>
  </si>
  <si>
    <t>valor1</t>
  </si>
  <si>
    <t>ChannelPublish</t>
  </si>
  <si>
    <t>1 readers(s)</t>
  </si>
  <si>
    <t>ChannelLatest</t>
  </si>
  <si>
    <t>ola_mundo</t>
  </si>
  <si>
    <t>ConnectionCount</t>
  </si>
  <si>
    <t>RedisExcel RTD tests (host localhost:6379)</t>
  </si>
  <si>
    <t>GET</t>
  </si>
  <si>
    <t>HGET</t>
  </si>
  <si>
    <t>HGETALL</t>
  </si>
  <si>
    <t>{"campo1":"valor1"}</t>
  </si>
  <si>
    <t>SUB</t>
  </si>
  <si>
    <t>PSUB</t>
  </si>
  <si>
    <t>TopicCount</t>
  </si>
  <si>
    <t>SubscriptionCount</t>
  </si>
  <si>
    <t>ChannelCount</t>
  </si>
  <si>
    <t>DefaultHost</t>
  </si>
  <si>
    <t>ExcelUpdateInterval</t>
  </si>
  <si>
    <t>RedisUpdateInterval</t>
  </si>
  <si>
    <t>RealTimeUpdates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</si>
</sst>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edisrtd">
      <tp t="s">
        <v>{"campo1":"valor1"}</v>
        <stp/>
        <stp>HGETALL</stp>
        <stp>test.redisexcel.hash</stp>
        <stp>localhost:6379</stp>
        <tr r="B6" s="2"/>
      </tp>
      <tp t="s">
        <v>valor1</v>
        <stp/>
        <stp>HGET</stp>
        <stp>test.redisexcel.hash</stp>
        <stp>campo1</stp>
        <stp>localhost:6379</stp>
        <tr r="B5" s="2"/>
      </tp>
      <tp t="s">
        <v>ALTA</v>
        <stp/>
        <stp>PSUB</stp>
        <stp>test.redisexcel.rtd*</stp>
        <stp>localhost:6379</stp>
        <tr r="B8" s="2"/>
      </tp>
      <tp t="s">
        <v>ALTA</v>
        <stp/>
        <stp>SUB</stp>
        <stp>test.redisexcel.rtd</stp>
        <stp>localhost:6379</stp>
        <tr r="B7" s="2"/>
      </tp>
      <tp t="s">
        <v>hello_from_udf</v>
        <stp/>
        <stp>GET</stp>
        <stp>test.redisexcel.key</stp>
        <stp>localhost:6379</stp>
        <tr r="B4" s="2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volatileDependencies" Target="volatileDependenci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8815EF-15FD-4223-A28D-F642C3019C5B}">
  <dimension ref="A1:G14"/>
  <sheetViews>
    <sheetView workbookViewId="0"/>
  </sheetViews>
  <sheetFormatPr defaultRowHeight="15" x14ac:dyDescent="0.25"/>
  <sheetData>
    <row r="1" spans="1:7" x14ac:dyDescent="0.25">
      <c r="A1" t="s">
        <v>0</v>
      </c>
    </row>
    <row r="2" spans="1:7" x14ac:dyDescent="0.25">
      <c r="F2">
        <v>1</v>
      </c>
      <c r="G2" t="s">
        <v>4</v>
      </c>
    </row>
    <row r="3" spans="1:7" x14ac:dyDescent="0.25">
      <c r="A3" t="s">
        <v>1</v>
      </c>
      <c r="B3" t="s">
        <v>2</v>
      </c>
      <c r="C3" t="s">
        <v>3</v>
      </c>
      <c r="F3">
        <v>2</v>
      </c>
      <c r="G3" t="s">
        <v>5</v>
      </c>
    </row>
    <row r="4" spans="1:7" x14ac:dyDescent="0.25">
      <c r="A4" t="s">
        <v>6</v>
      </c>
      <c r="B4" t="str">
        <f ca="1">_xll.RedisUDFSet("test.redisexcel.key","hello_from_udf","localhost:6379")</f>
        <v>OK</v>
      </c>
      <c r="C4" t="s">
        <v>7</v>
      </c>
    </row>
    <row r="5" spans="1:7" x14ac:dyDescent="0.25">
      <c r="A5" t="s">
        <v>8</v>
      </c>
      <c r="B5" t="str">
        <f ca="1">_xll.RedisUDFGet("test.redisexcel.key","localhost:6379")</f>
        <v>hello_from_udf</v>
      </c>
      <c r="C5" t="s">
        <v>9</v>
      </c>
    </row>
    <row r="6" spans="1:7" x14ac:dyDescent="0.25">
      <c r="A6" t="s">
        <v>10</v>
      </c>
      <c r="B6" t="str">
        <f ca="1">_xll.RedisUDFExists("test.redisexcel.key","localhost:6379")</f>
        <v>1</v>
      </c>
      <c r="C6">
        <v>1</v>
      </c>
    </row>
    <row r="7" spans="1:7" x14ac:dyDescent="0.25">
      <c r="A7" t="s">
        <v>11</v>
      </c>
      <c r="B7">
        <f ca="1">_xll.RedisUDFTTL("test.redisexcel.key","localhost:6379")</f>
        <v>-1</v>
      </c>
      <c r="C7">
        <v>-1</v>
      </c>
    </row>
    <row r="8" spans="1:7" x14ac:dyDescent="0.25">
      <c r="A8" t="s">
        <v>12</v>
      </c>
      <c r="B8" t="str">
        <f ca="1">_xll.RedisUDFSetJSON("test.redisexcel.json",$F$2:$G$3,"localhost:6379")</f>
        <v>OK</v>
      </c>
      <c r="C8" t="s">
        <v>7</v>
      </c>
    </row>
    <row r="9" spans="1:7" x14ac:dyDescent="0.25">
      <c r="A9" t="s">
        <v>13</v>
      </c>
      <c r="B9">
        <f ca="1">INDEX(_xll.RedisUDFJSONToMatrix(_xll.RedisUDFGet("test.redisexcel.json","localhost:6379"),""),2,1)</f>
        <v>2</v>
      </c>
      <c r="C9">
        <v>2</v>
      </c>
    </row>
    <row r="10" spans="1:7" x14ac:dyDescent="0.25">
      <c r="A10" t="s">
        <v>14</v>
      </c>
      <c r="B10" t="str">
        <f ca="1">_xll.RedisUDFHashSet("test.redisexcel.hash","campo1","valor1","localhost:6379")</f>
        <v>OK</v>
      </c>
      <c r="C10" t="s">
        <v>7</v>
      </c>
    </row>
    <row r="11" spans="1:7" x14ac:dyDescent="0.25">
      <c r="A11" t="s">
        <v>15</v>
      </c>
      <c r="B11" t="str">
        <f ca="1">_xll.RedisUDFHashGet("test.redisexcel.hash","campo1","localhost:6379")</f>
        <v>valor1</v>
      </c>
      <c r="C11" t="s">
        <v>16</v>
      </c>
    </row>
    <row r="12" spans="1:7" x14ac:dyDescent="0.25">
      <c r="A12" t="s">
        <v>17</v>
      </c>
      <c r="B12" t="str">
        <f ca="1">_xll.RedisUDFChannelPublish("test.redisexcel.channel","ola_mundo","localhost:6379")</f>
        <v>1 readers(s)</v>
      </c>
      <c r="C12" t="s">
        <v>18</v>
      </c>
    </row>
    <row r="13" spans="1:7" x14ac:dyDescent="0.25">
      <c r="A13" t="s">
        <v>19</v>
      </c>
      <c r="B13" t="str">
        <f ca="1">_xll.RedisUDFChannelLatest("test.redisexcel.channel","localhost:6379")</f>
        <v>ola_mundo</v>
      </c>
      <c r="C13" t="s">
        <v>20</v>
      </c>
    </row>
    <row r="14" spans="1:7" x14ac:dyDescent="0.25">
      <c r="A14" t="s">
        <v>21</v>
      </c>
      <c r="B14">
        <f ca="1">_xll.RedisUDFConnectionCount()</f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F829D1-B7A4-4FCC-8120-0BFAF2059B03}">
  <dimension ref="A1:C16"/>
  <sheetViews>
    <sheetView tabSelected="1" workbookViewId="0"/>
  </sheetViews>
  <sheetFormatPr defaultRowHeight="15" x14ac:dyDescent="0.25"/>
  <sheetData>
    <row r="1" spans="1:3" x14ac:dyDescent="0.25">
      <c r="A1" t="s">
        <v>22</v>
      </c>
    </row>
    <row r="3" spans="1:3" x14ac:dyDescent="0.25">
      <c r="A3" t="s">
        <v>1</v>
      </c>
      <c r="B3" t="s">
        <v>2</v>
      </c>
      <c r="C3" t="s">
        <v>3</v>
      </c>
    </row>
    <row r="4" spans="1:3" x14ac:dyDescent="0.25">
      <c r="A4" t="s">
        <v>23</v>
      </c>
      <c r="B4" t="str">
        <f>RTD("redisrtd",,"GET","test.redisexcel.key","localhost:6379")</f>
        <v>hello_from_udf</v>
      </c>
      <c r="C4" t="s">
        <v>9</v>
      </c>
    </row>
    <row r="5" spans="1:3" x14ac:dyDescent="0.25">
      <c r="A5" t="s">
        <v>24</v>
      </c>
      <c r="B5" t="str">
        <f>RTD("redisrtd",,"HGET","test.redisexcel.hash","campo1","localhost:6379")</f>
        <v>valor1</v>
      </c>
      <c r="C5" t="s">
        <v>16</v>
      </c>
    </row>
    <row r="6" spans="1:3" x14ac:dyDescent="0.25">
      <c r="A6" t="s">
        <v>25</v>
      </c>
      <c r="B6" t="str">
        <f>RTD("redisrtd",,"HGETALL","test.redisexcel.hash","localhost:6379")</f>
        <v>{"campo1":"valor1"}</v>
      </c>
      <c r="C6" t="s">
        <v>26</v>
      </c>
    </row>
    <row r="7" spans="1:3" x14ac:dyDescent="0.25">
      <c r="A7" t="s">
        <v>27</v>
      </c>
      <c r="B7" t="str">
        <f>RTD("redisrtd",,"SUB","test.redisexcel.rtd","localhost:6379")</f>
        <v>ALTA</v>
      </c>
    </row>
    <row r="8" spans="1:3" x14ac:dyDescent="0.25">
      <c r="A8" t="s">
        <v>28</v>
      </c>
      <c r="B8" t="str">
        <f>RTD("redisrtd",,"PSUB","test.redisexcel.rtd*","localhost:6379")</f>
        <v>ALTA</v>
      </c>
    </row>
    <row r="9" spans="1:3" x14ac:dyDescent="0.25">
      <c r="A9" t="s">
        <v>21</v>
      </c>
      <c r="B9">
        <f ca="1">_xll.RedisRTDConnectionCount()</f>
        <v>2</v>
      </c>
    </row>
    <row r="10" spans="1:3" x14ac:dyDescent="0.25">
      <c r="A10" t="s">
        <v>29</v>
      </c>
      <c r="B10">
        <f ca="1">_xll.RedisRTDTopicCount()</f>
        <v>5</v>
      </c>
    </row>
    <row r="11" spans="1:3" x14ac:dyDescent="0.25">
      <c r="A11" t="s">
        <v>30</v>
      </c>
      <c r="B11">
        <f ca="1">_xll.RedisRTDSubscriptionCount()</f>
        <v>3</v>
      </c>
    </row>
    <row r="12" spans="1:3" x14ac:dyDescent="0.25">
      <c r="A12" t="s">
        <v>31</v>
      </c>
      <c r="B12">
        <f ca="1">_xll.RedisRTDChannelCount()</f>
        <v>3</v>
      </c>
    </row>
    <row r="13" spans="1:3" x14ac:dyDescent="0.25">
      <c r="A13" t="s">
        <v>32</v>
      </c>
      <c r="B13" t="str">
        <f ca="1">_xll.RedisRTDDefaultHost()</f>
        <v>localhost:6379,password=,defaultDatabase=0,ssl=False,abortConnect=False</v>
      </c>
    </row>
    <row r="14" spans="1:3" x14ac:dyDescent="0.25">
      <c r="A14" t="s">
        <v>33</v>
      </c>
      <c r="B14">
        <f ca="1">_xll.RedisRTDExcelUpdateInterval()</f>
        <v>1000</v>
      </c>
    </row>
    <row r="15" spans="1:3" x14ac:dyDescent="0.25">
      <c r="A15" t="s">
        <v>34</v>
      </c>
      <c r="B15">
        <f ca="1">_xll.RedisRTDRedisUpdateInterval()</f>
        <v>1000</v>
      </c>
    </row>
    <row r="16" spans="1:3" x14ac:dyDescent="0.25">
      <c r="A16" t="s">
        <v>35</v>
      </c>
      <c r="B16" t="b">
        <f ca="1">_xll.RedisRTDRealTimeUpdates()</f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UDF</vt:lpstr>
      <vt:lpstr>RTD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Roberto Spadim</dc:creator>
  <cp:lastModifiedBy>Roberto Spadim</cp:lastModifiedBy>
  <dcterms:created xsi:type="dcterms:W3CDTF">2026-10-08T23:35:12Z</dcterms:created>
  <dcterms:modified xsi:type="dcterms:W3CDTF">2026-10-08T23:35:18Z</dcterms:modified>
</cp:coreProperties>
</file>