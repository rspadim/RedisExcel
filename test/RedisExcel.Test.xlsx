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D3DB787A-BCEF-480C-B331-4F59707A148A}" xr6:coauthVersionLast="47" xr6:coauthVersionMax="47" xr10:uidLastSave="{00000000-0000-0000-0000-000000000000}"/>
  <bookViews>
    <workbookView xWindow="2730" yWindow="2730" windowWidth="21600" windowHeight="11295" activeTab="1" xr2:uid="{E1482016-A736-4F64-B836-B1BB5E789429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" i="2" l="1"/>
  <c r="B21" i="2"/>
  <c r="B20" i="2"/>
  <c r="B8" i="2"/>
  <c r="B7" i="2"/>
  <c r="B6" i="2"/>
  <c r="B5" i="2"/>
  <c r="B4" i="2"/>
  <c r="B16" i="2"/>
  <c r="B15" i="2"/>
  <c r="B14" i="2"/>
  <c r="B13" i="2"/>
  <c r="B12" i="2"/>
  <c r="B11" i="2"/>
  <c r="B10" i="2"/>
  <c r="B9" i="2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<sst xmlns="http://schemas.openxmlformats.org/spreadsheetml/2006/main" count="96" uniqueCount="81">
  <si>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</si>
  <si>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</si>
  <si>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</si>
  <si>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</si>
  <si>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</si>
  <si>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</si>
  <si>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</si>
  <si>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</si>
  <si>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</si>
  <si>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</si>
  <si>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</si>
  <si>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</si>
  <si>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</si>
  <si>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</si>
  <si>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</si>
  <si>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</si>
  <si>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</si>
  <si>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</si>
  <si>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</si>
  <si>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</si>
  <si>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</si>
  <si>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</si>
  <si>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</si>
  <si>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</si>
  <si>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</si>
  <si>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</si>
  <si>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</si>
  <si>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</si>
  <si>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</si>
  <si>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</si>
  <si>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</si>
  <si>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</si>
  <si>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</si>
  <si>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</si>
  <si>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</si>
  <si>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</si>
  <si>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</si>
  <si>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</si>
  <si>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</si>
  <si>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</si>
  <si>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</si>
  <si>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</si>
  <si>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</si>
  <si>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</si>
  <si>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</si>
  <si>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</si>
  <si>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</si>
  <si>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</si>
  <si>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</si>
  <si>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</si>
  <si>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</si>
  <si>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Get range arg</t>
  </si>
  <si>
    <t>error</t>
  </si>
  <si>
    <t>GetMultiple no keys</t>
  </si>
  <si>
    <t>ExistsMultiples 2x2</t>
  </si>
  <si>
    <t>Keys blank pattern</t>
  </si>
  <si>
    <t>GetMultiple 2x2</t>
  </si>
  <si>
    <t>SetKV mismatched</t>
  </si>
  <si>
    <t>PublishIfChanged</t>
  </si>
  <si>
    <t>No change</t>
  </si>
  <si>
    <t>Unsubscribe blank channel</t>
  </si>
  <si>
    <t>HashSetMultiple pairs</t>
  </si>
  <si>
    <t>HashGet pairs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</si>
  <si>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</si>
  <si>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</si>
  <si>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</si>
  <si>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</si>
  <si>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</si>
  <si>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</si>
  <si>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</si>
  <si>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</si>
  <si>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</si>
  <si>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</si>
  <si>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</si>
  <si>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</si>
  <si>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</si>
  <si>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</si>
  <si>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</si>
  <si>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</si>
  <si>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</si>
  <si>
    <t>HGETALL missing hash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</si>
</sst>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{}</v>
        <stp/>
        <stp>HGETALL</stp>
        <stp>test.redisexcel.missinghash</stp>
        <stp>localhost:6379</stp>
        <tr r="B22" s="2"/>
      </tp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hello_v2</v>
        <stp/>
        <stp>GET</stp>
        <stp>test.redisexcel.key</stp>
        <stp>localhost:6379</stp>
        <tr r="B4" s="2"/>
      </tp>
      <tp t="s">
        <v>(no value)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9F707-378E-40EB-B1D7-FAB277FDDEE8}">
  <dimension ref="A1:H47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98.001999999999995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446</v>
      </c>
    </row>
    <row r="22" spans="1:3" x14ac:dyDescent="0.25">
      <c r="A22" t="s">
        <v>28</v>
      </c>
      <c r="B22">
        <f ca="1">_xll.RedisUDFListPushRight("test.redisexcel.list","a","localhost:6379")</f>
        <v>437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Error: ERR no such key</v>
      </c>
    </row>
    <row r="38" spans="1:3" x14ac:dyDescent="0.25">
      <c r="A38" t="s">
        <v>51</v>
      </c>
      <c r="B38" t="str">
        <f ca="1">IF(ISNUMBER(SEARCH("Error",_xll.RedisUDFGet($F$2:$G$2))),"error","no error")</f>
        <v>error</v>
      </c>
      <c r="C38" t="s">
        <v>52</v>
      </c>
    </row>
    <row r="39" spans="1:3" x14ac:dyDescent="0.25">
      <c r="A39" t="s">
        <v>53</v>
      </c>
      <c r="B39" t="str">
        <f ca="1">_xll.RedisUDFGetMultiple("",FALSE)</f>
        <v>Error: No valid key</v>
      </c>
    </row>
    <row r="40" spans="1:3" x14ac:dyDescent="0.25">
      <c r="A40" t="s">
        <v>54</v>
      </c>
      <c r="B40" t="str">
        <f ca="1">INDEX(_xll.RedisUDFExistsMultiples({"test.redisexcel.key","test.redisexcel.missing1";"test.redisexcel.missing2","test.redisexcel.missing3"},"localhost:6379"),2,1)</f>
        <v>test.redisexcel.missing1</v>
      </c>
    </row>
    <row r="41" spans="1:3" x14ac:dyDescent="0.25">
      <c r="A41" t="s">
        <v>55</v>
      </c>
      <c r="B41" t="str">
        <f ca="1">_xll.RedisUDFKeys($J$3)</f>
        <v>Error: a key pattern is required; use "*" to match all keys</v>
      </c>
    </row>
    <row r="42" spans="1:3" x14ac:dyDescent="0.25">
      <c r="A42" t="s">
        <v>56</v>
      </c>
      <c r="B42" t="str">
        <f ca="1">INDEX(_xll.RedisUDFGetMultiple($F$2:$G$3,TRUE,"localhost:6379"),2,1)</f>
        <v>linha1</v>
      </c>
    </row>
    <row r="43" spans="1:3" x14ac:dyDescent="0.25">
      <c r="A43" t="s">
        <v>57</v>
      </c>
      <c r="B43" t="str">
        <f ca="1">_xll.RedisUDFSetKV($F$2:$G$2,$F$3)</f>
        <v>Error: keys and values must have the same number of cells</v>
      </c>
    </row>
    <row r="44" spans="1:3" x14ac:dyDescent="0.25">
      <c r="A44" t="s">
        <v>58</v>
      </c>
      <c r="B44" t="str">
        <f ca="1">_xll.RedisUDFChannelPublishIfChanged("test.redisexcel.rtd2","same","localhost:6379")</f>
        <v>No change</v>
      </c>
      <c r="C44" t="s">
        <v>59</v>
      </c>
    </row>
    <row r="45" spans="1:3" x14ac:dyDescent="0.25">
      <c r="A45" t="s">
        <v>60</v>
      </c>
      <c r="B45" t="str">
        <f ca="1">_xll.RedisUDFChannelUnsubscribe("   ")</f>
        <v>Error: a channel is required</v>
      </c>
    </row>
    <row r="46" spans="1:3" x14ac:dyDescent="0.25">
      <c r="A46" t="s">
        <v>61</v>
      </c>
      <c r="B46" t="str">
        <f ca="1">_xll.RedisUDFHashSetMultiple("test.redisexcel.pairs",$F$2:$G$3,"localhost:6379")</f>
        <v>OK</v>
      </c>
    </row>
    <row r="47" spans="1:3" x14ac:dyDescent="0.25">
      <c r="A47" t="s">
        <v>62</v>
      </c>
      <c r="B47" t="str">
        <f ca="1">_xll.RedisUDFHashGet("test.redisexcel.pairs","1","localhost:6379")</f>
        <v>linha1</v>
      </c>
      <c r="C47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98-E965-460B-A1EE-4BF0B2F32D36}">
  <dimension ref="A1:C22"/>
  <sheetViews>
    <sheetView tabSelected="1" workbookViewId="0"/>
  </sheetViews>
  <sheetFormatPr defaultRowHeight="15" x14ac:dyDescent="0.25"/>
  <sheetData>
    <row r="1" spans="1:3" x14ac:dyDescent="0.25">
      <c r="A1" t="s">
        <v>63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64</v>
      </c>
      <c r="B4" t="str">
        <f>RTD("redisrtd",,"GET","test.redisexcel.key","localhost:6379")</f>
        <v>hello_v2</v>
      </c>
      <c r="C4" t="s">
        <v>9</v>
      </c>
    </row>
    <row r="5" spans="1:3" x14ac:dyDescent="0.25">
      <c r="A5" t="s">
        <v>65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66</v>
      </c>
      <c r="B6" t="str">
        <f>RTD("redisrtd",,"HGETALL","test.redisexcel.hash","localhost:6379")</f>
        <v>{"campo1":"valor1"}</v>
      </c>
      <c r="C6" t="s">
        <v>67</v>
      </c>
    </row>
    <row r="7" spans="1:3" x14ac:dyDescent="0.25">
      <c r="A7" t="s">
        <v>68</v>
      </c>
      <c r="B7" t="str">
        <f>RTD("redisrtd",,"SUB","test.redisexcel.rtd","localhost:6379")</f>
        <v>ALTA</v>
      </c>
    </row>
    <row r="8" spans="1:3" x14ac:dyDescent="0.25">
      <c r="A8" t="s">
        <v>69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70</v>
      </c>
      <c r="B10">
        <f ca="1">_xll.RedisRTDTopicCount()</f>
        <v>7</v>
      </c>
    </row>
    <row r="11" spans="1:3" x14ac:dyDescent="0.25">
      <c r="A11" t="s">
        <v>71</v>
      </c>
      <c r="B11">
        <f ca="1">_xll.RedisRTDSubscriptionCount()</f>
        <v>2</v>
      </c>
    </row>
    <row r="12" spans="1:3" x14ac:dyDescent="0.25">
      <c r="A12" t="s">
        <v>72</v>
      </c>
      <c r="B12">
        <f ca="1">_xll.RedisRTDChannelCount()</f>
        <v>2</v>
      </c>
    </row>
    <row r="13" spans="1:3" x14ac:dyDescent="0.25">
      <c r="A13" t="s">
        <v>73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74</v>
      </c>
      <c r="B14">
        <f ca="1">_xll.RedisRTDExcelUpdateInterval()</f>
        <v>1000</v>
      </c>
    </row>
    <row r="15" spans="1:3" x14ac:dyDescent="0.25">
      <c r="A15" t="s">
        <v>75</v>
      </c>
      <c r="B15">
        <f ca="1">_xll.RedisRTDRedisUpdateInterval()</f>
        <v>1000</v>
      </c>
    </row>
    <row r="16" spans="1:3" x14ac:dyDescent="0.25">
      <c r="A16" t="s">
        <v>76</v>
      </c>
      <c r="B16" t="b">
        <f ca="1">_xll.RedisRTDRealTimeUpdates()</f>
        <v>1</v>
      </c>
    </row>
    <row r="20" spans="1:3" x14ac:dyDescent="0.25">
      <c r="A20" t="s">
        <v>77</v>
      </c>
      <c r="B20" t="str">
        <f>RTD("redisrtd",,"GET")</f>
        <v>#ERROR: ConnectData: GET requires a key as the second argument</v>
      </c>
    </row>
    <row r="21" spans="1:3" x14ac:dyDescent="0.25">
      <c r="A21" t="s">
        <v>78</v>
      </c>
      <c r="B21" t="str">
        <f>RTD("redisrtd",,"GET"," ","localhost:6379")</f>
        <v>(no value)</v>
      </c>
      <c r="C21" t="s">
        <v>79</v>
      </c>
    </row>
    <row r="22" spans="1:3" x14ac:dyDescent="0.25">
      <c r="A22" t="s">
        <v>80</v>
      </c>
      <c r="B22" t="str">
        <f>RTD("redisrtd",,"HGETALL","test.redisexcel.missinghash","localhost:6379")</f>
        <v>{}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2026-10-09T12:54:07Z</dcterms:created>
  <dcterms:modified xsi:type="dcterms:W3CDTF">2026-10-09T12:54:22Z</dcterms:modified>
</cp:coreProperties>
</file>